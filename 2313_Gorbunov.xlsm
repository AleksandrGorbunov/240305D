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10" windowWidth="14810" windowHeight="7490"/>
  </bookViews>
  <sheets>
    <sheet name="Лист1" sheetId="1" r:id="rId1"/>
  </sheets>
  <calcPr calcId="152511"/>
  <fileRecoveryPr repairLoad="1"/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F13" i="1"/>
  <c r="AJ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<sst xmlns="http://schemas.openxmlformats.org/spreadsheetml/2006/main" count="12" uniqueCount="11">
  <si>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</si>
  <si>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dt</t>
  </si>
  <si>
    <t>dx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</si>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</sst>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Font="1"/>
    <xf numFmtId="0" fontId="0" fillId="0" borderId="1" xfId="0" applyFont="1" applyBorder="1" applyAlignment="1">
      <alignment horizontal="center"/>
    </xf>
    <xf numFmtId="165" fontId="0" fillId="0" borderId="1" xfId="0" applyNumberFormat="1" applyFont="1" applyBorder="1"/>
    <xf numFmtId="165" fontId="0" fillId="0" borderId="1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269.73474843510797</c:v>
                </c:pt>
                <c:pt idx="2">
                  <c:v>239.46949687021586</c:v>
                </c:pt>
                <c:pt idx="3">
                  <c:v>211.10896771295972</c:v>
                </c:pt>
                <c:pt idx="4">
                  <c:v>182.74843855570356</c:v>
                </c:pt>
                <c:pt idx="5">
                  <c:v>157.86142657744543</c:v>
                </c:pt>
                <c:pt idx="6">
                  <c:v>132.9744145991873</c:v>
                </c:pt>
                <c:pt idx="7">
                  <c:v>112.56099830838582</c:v>
                </c:pt>
                <c:pt idx="8">
                  <c:v>92.147582017584355</c:v>
                </c:pt>
                <c:pt idx="9">
                  <c:v>76.571163882461235</c:v>
                </c:pt>
                <c:pt idx="10">
                  <c:v>60.994745747338115</c:v>
                </c:pt>
                <c:pt idx="11">
                  <c:v>50.077824034892515</c:v>
                </c:pt>
                <c:pt idx="12">
                  <c:v>39.160902322446915</c:v>
                </c:pt>
                <c:pt idx="13">
                  <c:v>32.387917467133143</c:v>
                </c:pt>
                <c:pt idx="14">
                  <c:v>25.614932611819363</c:v>
                </c:pt>
                <c:pt idx="15">
                  <c:v>22.35888999615398</c:v>
                </c:pt>
                <c:pt idx="16">
                  <c:v>19.102847380488598</c:v>
                </c:pt>
                <c:pt idx="17">
                  <c:v>18.800200180200267</c:v>
                </c:pt>
                <c:pt idx="18">
                  <c:v>18.497552979911937</c:v>
                </c:pt>
                <c:pt idx="19">
                  <c:v>20.728347707980106</c:v>
                </c:pt>
                <c:pt idx="20">
                  <c:v>22.959142436048275</c:v>
                </c:pt>
                <c:pt idx="21">
                  <c:v>27.429976299347519</c:v>
                </c:pt>
                <c:pt idx="22">
                  <c:v>31.900810162646764</c:v>
                </c:pt>
                <c:pt idx="23">
                  <c:v>38.361625001528886</c:v>
                </c:pt>
                <c:pt idx="24">
                  <c:v>44.822439840411008</c:v>
                </c:pt>
                <c:pt idx="25">
                  <c:v>52.965591591830005</c:v>
                </c:pt>
                <c:pt idx="26">
                  <c:v>61.108743343249003</c:v>
                </c:pt>
                <c:pt idx="27">
                  <c:v>70.497566054661064</c:v>
                </c:pt>
                <c:pt idx="28">
                  <c:v>79.886388766073139</c:v>
                </c:pt>
                <c:pt idx="29">
                  <c:v>89.94319438303657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401904"/>
        <c:axId val="405402288"/>
      </c:scatterChart>
      <c:valAx>
        <c:axId val="4054019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402288"/>
        <c:crosses val="autoZero"/>
        <c:crossBetween val="midCat"/>
      </c:valAx>
      <c:valAx>
        <c:axId val="405402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40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36980</xdr:colOff>
      <xdr:row>17</xdr:row>
      <xdr:rowOff>68354</xdr:rowOff>
    </xdr:from>
    <xdr:to>
      <xdr:col>16</xdr:col>
      <xdr:colOff>41563</xdr:colOff>
      <xdr:row>45</xdr:row>
      <xdr:rowOff>27709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118577</xdr:colOff>
      <xdr:row>17</xdr:row>
      <xdr:rowOff>132025</xdr:rowOff>
    </xdr:from>
    <xdr:ext cx="523157" cy="2409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292083" y="3180025"/>
              <a:ext cx="523157" cy="240900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𝑇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𝐶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ru-RU" sz="2000" b="0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292083" y="3180025"/>
              <a:ext cx="523157" cy="240900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𝑇,[𝐶]</a:t>
              </a:r>
              <a:endParaRPr lang="ru-RU" sz="2000" b="0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14</xdr:col>
      <xdr:colOff>345142</xdr:colOff>
      <xdr:row>43</xdr:row>
      <xdr:rowOff>53788</xdr:rowOff>
    </xdr:from>
    <xdr:ext cx="555152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7714130" y="7763435"/>
              <a:ext cx="555152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7714130" y="7763435"/>
              <a:ext cx="555152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𝐿,[𝑚]</a:t>
              </a:r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zoomScale="85" zoomScaleNormal="85" workbookViewId="0">
      <selection activeCell="C31" sqref="C31"/>
    </sheetView>
  </sheetViews>
  <sheetFormatPr defaultRowHeight="14.5" x14ac:dyDescent="0.35"/>
  <cols>
    <col min="3" max="3" width="10.81640625" bestFit="1" customWidth="1"/>
    <col min="6" max="36" width="6.81640625" style="4" customWidth="1"/>
  </cols>
  <sheetData>
    <row r="3" spans="2:36" x14ac:dyDescent="0.35">
      <c r="B3" s="2" t="s">
        <v>0</v>
      </c>
      <c r="C3" s="2">
        <v>0.1</v>
      </c>
    </row>
    <row r="4" spans="2:36" x14ac:dyDescent="0.35">
      <c r="B4" s="2" t="s">
        <v>2</v>
      </c>
      <c r="C4" s="3">
        <f>C3/30</f>
        <v>3.3333333333333335E-3</v>
      </c>
    </row>
    <row r="5" spans="2:36" x14ac:dyDescent="0.35">
      <c r="B5" s="2" t="s">
        <v>1</v>
      </c>
      <c r="C5" s="3">
        <f>(C9*C8*C4^2)/(2*C10)</f>
        <v>0.4333333333333334</v>
      </c>
    </row>
    <row r="6" spans="2:36" x14ac:dyDescent="0.35">
      <c r="B6" s="2" t="s">
        <v>3</v>
      </c>
      <c r="C6" s="2">
        <v>120</v>
      </c>
      <c r="D6">
        <v>60.43333333333333</v>
      </c>
    </row>
    <row r="7" spans="2:36" x14ac:dyDescent="0.35">
      <c r="B7" s="1"/>
      <c r="C7" s="1"/>
    </row>
    <row r="8" spans="2:36" x14ac:dyDescent="0.35">
      <c r="B8" s="2" t="s">
        <v>4</v>
      </c>
      <c r="C8" s="2">
        <v>460</v>
      </c>
    </row>
    <row r="9" spans="2:36" x14ac:dyDescent="0.35">
      <c r="B9" s="2" t="s">
        <v>5</v>
      </c>
      <c r="C9" s="2">
        <v>7800</v>
      </c>
    </row>
    <row r="10" spans="2:36" x14ac:dyDescent="0.35">
      <c r="B10" s="2" t="s">
        <v>6</v>
      </c>
      <c r="C10" s="2">
        <v>46</v>
      </c>
    </row>
    <row r="11" spans="2:36" x14ac:dyDescent="0.35">
      <c r="B11" s="1"/>
      <c r="C11" s="1"/>
      <c r="F11" s="5">
        <v>1</v>
      </c>
      <c r="G11" s="5">
        <v>2</v>
      </c>
      <c r="H11" s="5">
        <v>3</v>
      </c>
      <c r="I11" s="5">
        <v>4</v>
      </c>
      <c r="J11" s="5">
        <v>5</v>
      </c>
      <c r="K11" s="5">
        <v>6</v>
      </c>
      <c r="L11" s="5">
        <v>7</v>
      </c>
      <c r="M11" s="5">
        <v>8</v>
      </c>
      <c r="N11" s="5">
        <v>9</v>
      </c>
      <c r="O11" s="5">
        <v>10</v>
      </c>
      <c r="P11" s="5">
        <v>11</v>
      </c>
      <c r="Q11" s="5">
        <v>12</v>
      </c>
      <c r="R11" s="5">
        <v>13</v>
      </c>
      <c r="S11" s="5">
        <v>14</v>
      </c>
      <c r="T11" s="5">
        <v>15</v>
      </c>
      <c r="U11" s="5">
        <v>16</v>
      </c>
      <c r="V11" s="5">
        <v>17</v>
      </c>
      <c r="W11" s="5">
        <v>18</v>
      </c>
      <c r="X11" s="5">
        <v>19</v>
      </c>
      <c r="Y11" s="5">
        <v>20</v>
      </c>
      <c r="Z11" s="5">
        <v>21</v>
      </c>
      <c r="AA11" s="5">
        <v>22</v>
      </c>
      <c r="AB11" s="5">
        <v>23</v>
      </c>
      <c r="AC11" s="5">
        <v>24</v>
      </c>
      <c r="AD11" s="5">
        <v>25</v>
      </c>
      <c r="AE11" s="5">
        <v>26</v>
      </c>
      <c r="AF11" s="5">
        <v>27</v>
      </c>
      <c r="AG11" s="5">
        <v>28</v>
      </c>
      <c r="AH11" s="5">
        <v>29</v>
      </c>
      <c r="AI11" s="5">
        <v>30</v>
      </c>
      <c r="AJ11" s="5">
        <v>31</v>
      </c>
    </row>
    <row r="12" spans="2:36" x14ac:dyDescent="0.35">
      <c r="B12" s="2" t="s">
        <v>8</v>
      </c>
      <c r="C12" s="2">
        <v>300</v>
      </c>
      <c r="E12" t="s">
        <v>0</v>
      </c>
      <c r="F12" s="6">
        <v>0</v>
      </c>
      <c r="G12" s="7">
        <f>F12+$C$4</f>
        <v>3.3333333333333335E-3</v>
      </c>
      <c r="H12" s="7">
        <f t="shared" ref="H12:AJ12" si="0">G12+$C$4</f>
        <v>6.6666666666666671E-3</v>
      </c>
      <c r="I12" s="7">
        <f t="shared" si="0"/>
        <v>0.01</v>
      </c>
      <c r="J12" s="7">
        <f t="shared" si="0"/>
        <v>1.3333333333333334E-2</v>
      </c>
      <c r="K12" s="7">
        <f t="shared" si="0"/>
        <v>1.6666666666666666E-2</v>
      </c>
      <c r="L12" s="7">
        <f t="shared" si="0"/>
        <v>0.02</v>
      </c>
      <c r="M12" s="7">
        <f t="shared" si="0"/>
        <v>2.3333333333333334E-2</v>
      </c>
      <c r="N12" s="7">
        <f t="shared" si="0"/>
        <v>2.6666666666666668E-2</v>
      </c>
      <c r="O12" s="7">
        <f t="shared" si="0"/>
        <v>3.0000000000000002E-2</v>
      </c>
      <c r="P12" s="7">
        <f t="shared" si="0"/>
        <v>3.3333333333333333E-2</v>
      </c>
      <c r="Q12" s="7">
        <f t="shared" si="0"/>
        <v>3.6666666666666667E-2</v>
      </c>
      <c r="R12" s="7">
        <f t="shared" si="0"/>
        <v>0.04</v>
      </c>
      <c r="S12" s="7">
        <f t="shared" si="0"/>
        <v>4.3333333333333335E-2</v>
      </c>
      <c r="T12" s="7">
        <f t="shared" si="0"/>
        <v>4.6666666666666669E-2</v>
      </c>
      <c r="U12" s="7">
        <f t="shared" si="0"/>
        <v>0.05</v>
      </c>
      <c r="V12" s="7">
        <f t="shared" si="0"/>
        <v>5.3333333333333337E-2</v>
      </c>
      <c r="W12" s="7">
        <f t="shared" si="0"/>
        <v>5.6666666666666671E-2</v>
      </c>
      <c r="X12" s="7">
        <f t="shared" si="0"/>
        <v>6.0000000000000005E-2</v>
      </c>
      <c r="Y12" s="7">
        <f t="shared" si="0"/>
        <v>6.3333333333333339E-2</v>
      </c>
      <c r="Z12" s="7">
        <f t="shared" si="0"/>
        <v>6.6666666666666666E-2</v>
      </c>
      <c r="AA12" s="7">
        <f t="shared" si="0"/>
        <v>6.9999999999999993E-2</v>
      </c>
      <c r="AB12" s="7">
        <f t="shared" si="0"/>
        <v>7.333333333333332E-2</v>
      </c>
      <c r="AC12" s="7">
        <f t="shared" si="0"/>
        <v>7.6666666666666647E-2</v>
      </c>
      <c r="AD12" s="7">
        <f t="shared" si="0"/>
        <v>7.9999999999999974E-2</v>
      </c>
      <c r="AE12" s="7">
        <f t="shared" si="0"/>
        <v>8.3333333333333301E-2</v>
      </c>
      <c r="AF12" s="7">
        <f t="shared" si="0"/>
        <v>8.6666666666666628E-2</v>
      </c>
      <c r="AG12" s="7">
        <f t="shared" si="0"/>
        <v>8.9999999999999955E-2</v>
      </c>
      <c r="AH12" s="7">
        <f t="shared" si="0"/>
        <v>9.3333333333333282E-2</v>
      </c>
      <c r="AI12" s="7">
        <f t="shared" si="0"/>
        <v>9.6666666666666609E-2</v>
      </c>
      <c r="AJ12" s="7">
        <f t="shared" si="0"/>
        <v>9.9999999999999936E-2</v>
      </c>
    </row>
    <row r="13" spans="2:36" x14ac:dyDescent="0.35">
      <c r="B13" s="2" t="s">
        <v>9</v>
      </c>
      <c r="C13" s="2">
        <v>100</v>
      </c>
      <c r="E13" t="s">
        <v>7</v>
      </c>
      <c r="F13" s="8">
        <f>C12</f>
        <v>300</v>
      </c>
      <c r="G13" s="8">
        <v>269.73474843510797</v>
      </c>
      <c r="H13" s="8">
        <v>239.46949687021586</v>
      </c>
      <c r="I13" s="8">
        <v>211.10896771295972</v>
      </c>
      <c r="J13" s="8">
        <v>182.74843855570356</v>
      </c>
      <c r="K13" s="8">
        <v>157.86142657744543</v>
      </c>
      <c r="L13" s="8">
        <v>132.9744145991873</v>
      </c>
      <c r="M13" s="8">
        <v>112.56099830838582</v>
      </c>
      <c r="N13" s="8">
        <v>92.147582017584355</v>
      </c>
      <c r="O13" s="8">
        <v>76.571163882461235</v>
      </c>
      <c r="P13" s="8">
        <v>60.994745747338115</v>
      </c>
      <c r="Q13" s="8">
        <v>50.077824034892515</v>
      </c>
      <c r="R13" s="8">
        <v>39.160902322446915</v>
      </c>
      <c r="S13" s="8">
        <v>32.387917467133143</v>
      </c>
      <c r="T13" s="8">
        <v>25.614932611819363</v>
      </c>
      <c r="U13" s="8">
        <v>22.35888999615398</v>
      </c>
      <c r="V13" s="8">
        <v>19.102847380488598</v>
      </c>
      <c r="W13" s="8">
        <v>18.800200180200267</v>
      </c>
      <c r="X13" s="8">
        <v>18.497552979911937</v>
      </c>
      <c r="Y13" s="8">
        <v>20.728347707980106</v>
      </c>
      <c r="Z13" s="8">
        <v>22.959142436048275</v>
      </c>
      <c r="AA13" s="8">
        <v>27.429976299347519</v>
      </c>
      <c r="AB13" s="8">
        <v>31.900810162646764</v>
      </c>
      <c r="AC13" s="8">
        <v>38.361625001528886</v>
      </c>
      <c r="AD13" s="8">
        <v>44.822439840411008</v>
      </c>
      <c r="AE13" s="8">
        <v>52.965591591830005</v>
      </c>
      <c r="AF13" s="8">
        <v>61.108743343249003</v>
      </c>
      <c r="AG13" s="8">
        <v>70.497566054661064</v>
      </c>
      <c r="AH13" s="8">
        <v>79.886388766073139</v>
      </c>
      <c r="AI13" s="8">
        <v>89.94319438303657</v>
      </c>
      <c r="AJ13" s="8">
        <f>C13</f>
        <v>100</v>
      </c>
    </row>
    <row r="15" spans="2:36" x14ac:dyDescent="0.35">
      <c r="E15" t="s">
        <v>10</v>
      </c>
      <c r="G15" s="8">
        <f>G13+(($C$10*$C$5)/($C$9*$C$8))*((H13-2*G13+F13)/($C$4^2))</f>
        <v>269.73474843510792</v>
      </c>
      <c r="H15" s="8">
        <f t="shared" ref="H15:AI15" si="1">H13+(($C$10*$C$5)/($C$9*$C$8))*((I13-2*H13+G13)/($C$4^2))</f>
        <v>240.42185807403385</v>
      </c>
      <c r="I15" s="8">
        <f t="shared" si="1"/>
        <v>211.10896771295972</v>
      </c>
      <c r="J15" s="8">
        <f t="shared" si="1"/>
        <v>184.48519714520256</v>
      </c>
      <c r="K15" s="8">
        <f t="shared" si="1"/>
        <v>157.86142657744543</v>
      </c>
      <c r="L15" s="8">
        <f t="shared" si="1"/>
        <v>135.21121244291561</v>
      </c>
      <c r="M15" s="8">
        <f t="shared" si="1"/>
        <v>112.56099830838582</v>
      </c>
      <c r="N15" s="8">
        <f t="shared" si="1"/>
        <v>94.566081095423527</v>
      </c>
      <c r="O15" s="8">
        <f t="shared" si="1"/>
        <v>76.571163882461235</v>
      </c>
      <c r="P15" s="8">
        <f t="shared" si="1"/>
        <v>63.324493958676875</v>
      </c>
      <c r="Q15" s="8">
        <f t="shared" si="1"/>
        <v>50.077824034892515</v>
      </c>
      <c r="R15" s="8">
        <f t="shared" si="1"/>
        <v>41.232870751012825</v>
      </c>
      <c r="S15" s="8">
        <f t="shared" si="1"/>
        <v>32.387917467133136</v>
      </c>
      <c r="T15" s="8">
        <f t="shared" si="1"/>
        <v>27.373403731643563</v>
      </c>
      <c r="U15" s="8">
        <f t="shared" si="1"/>
        <v>22.35888999615398</v>
      </c>
      <c r="V15" s="8">
        <f t="shared" si="1"/>
        <v>20.579545088177124</v>
      </c>
      <c r="W15" s="8">
        <f t="shared" si="1"/>
        <v>18.800200180200267</v>
      </c>
      <c r="X15" s="8">
        <f t="shared" si="1"/>
        <v>19.764273944090185</v>
      </c>
      <c r="Y15" s="8">
        <f t="shared" si="1"/>
        <v>20.728347707980106</v>
      </c>
      <c r="Z15" s="8">
        <f t="shared" si="1"/>
        <v>24.079162003663811</v>
      </c>
      <c r="AA15" s="8">
        <f t="shared" si="1"/>
        <v>27.429976299347519</v>
      </c>
      <c r="AB15" s="8">
        <f t="shared" si="1"/>
        <v>32.895800650438204</v>
      </c>
      <c r="AC15" s="8">
        <f t="shared" si="1"/>
        <v>38.361625001528886</v>
      </c>
      <c r="AD15" s="8">
        <f t="shared" si="1"/>
        <v>45.663608296679442</v>
      </c>
      <c r="AE15" s="8">
        <f t="shared" si="1"/>
        <v>52.965591591830005</v>
      </c>
      <c r="AF15" s="8">
        <f t="shared" si="1"/>
        <v>61.731578823245535</v>
      </c>
      <c r="AG15" s="8">
        <f t="shared" si="1"/>
        <v>70.497566054661064</v>
      </c>
      <c r="AH15" s="8">
        <f t="shared" si="1"/>
        <v>80.220380218848817</v>
      </c>
      <c r="AI15" s="8">
        <f t="shared" si="1"/>
        <v>89.94319438303657</v>
      </c>
      <c r="AJ15" s="8"/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2021-09-08T09:27:27Z</dcterms:modified>
</cp:coreProperties>
</file>
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C5BBEA04-B48B-DB03-FC8F-E18A6752861A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DNS\OneDrive\Рабочий стол\homework3\"/>
    </mc:Choice>
  </mc:AlternateContent>
  <bookViews>
    <workbookView xWindow="0" yWindow="0" windowWidth="19160" windowHeight="7330" activeTab="1"/>
  </bookViews>
  <sheets>
    <sheet name="явная схема" sheetId="2" r:id="rId1"/>
    <sheet name="неявная схема" sheetId="1" r:id="rId2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8" i="1" l="1"/>
  <c r="W18" i="1" s="1"/>
  <c r="X18" i="1" s="1"/>
  <c r="Y18" i="1" s="1"/>
  <c r="Z18" i="1" s="1"/>
  <c r="AA18" i="1" s="1"/>
  <c r="AB18" i="1" s="1"/>
  <c r="V19" i="1"/>
  <c r="W19" i="1" s="1"/>
  <c r="X19" i="1" l="1"/>
  <c r="Y19" i="1" s="1"/>
  <c r="Z19" i="1" s="1"/>
  <c r="AA19" i="1" s="1"/>
  <c r="AB19" i="1" s="1"/>
  <c r="C4" i="2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5" i="2" l="1"/>
  <c r="AG15" i="2" l="1"/>
  <c r="Y15" i="2"/>
  <c r="Q15" i="2"/>
  <c r="I15" i="2"/>
  <c r="AF15" i="2"/>
  <c r="X15" i="2"/>
  <c r="P15" i="2"/>
  <c r="H15" i="2"/>
  <c r="AE15" i="2"/>
  <c r="W15" i="2"/>
  <c r="O15" i="2"/>
  <c r="G15" i="2"/>
  <c r="AD15" i="2"/>
  <c r="V15" i="2"/>
  <c r="N15" i="2"/>
  <c r="AC15" i="2"/>
  <c r="U15" i="2"/>
  <c r="M15" i="2"/>
  <c r="AB15" i="2"/>
  <c r="T15" i="2"/>
  <c r="L15" i="2"/>
  <c r="AI15" i="2"/>
  <c r="AA15" i="2"/>
  <c r="S15" i="2"/>
  <c r="K15" i="2"/>
  <c r="AH15" i="2"/>
  <c r="Z15" i="2"/>
  <c r="R15" i="2"/>
  <c r="J15" i="2"/>
  <c r="AJ14" i="1"/>
  <c r="F19" i="1"/>
  <c r="C2" i="1" l="1"/>
  <c r="C4" i="1" l="1"/>
  <c r="C15" i="1"/>
  <c r="G11" i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L20" i="1" l="1"/>
  <c r="G4" i="1"/>
  <c r="H20" i="1"/>
  <c r="J20" i="1"/>
  <c r="M20" i="1"/>
  <c r="O20" i="1"/>
  <c r="Q20" i="1"/>
  <c r="S20" i="1"/>
  <c r="U20" i="1"/>
  <c r="W20" i="1"/>
  <c r="Y20" i="1"/>
  <c r="AA20" i="1"/>
  <c r="AC20" i="1"/>
  <c r="AE20" i="1"/>
  <c r="AG20" i="1"/>
  <c r="AI20" i="1"/>
  <c r="G20" i="1"/>
  <c r="I20" i="1"/>
  <c r="K20" i="1"/>
  <c r="N20" i="1"/>
  <c r="P20" i="1"/>
  <c r="R20" i="1"/>
  <c r="T20" i="1"/>
  <c r="V20" i="1"/>
  <c r="X20" i="1"/>
  <c r="Z20" i="1"/>
  <c r="AB20" i="1"/>
  <c r="AD20" i="1"/>
  <c r="AF20" i="1"/>
  <c r="AH20" i="1"/>
  <c r="F20" i="1"/>
  <c r="C17" i="1"/>
  <c r="C16" i="1"/>
  <c r="G19" i="1" l="1"/>
  <c r="G18" i="1"/>
  <c r="H18" i="1" s="1"/>
  <c r="I18" i="1" s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AC18" i="1" s="1"/>
  <c r="AD18" i="1" s="1"/>
  <c r="AE18" i="1" s="1"/>
  <c r="AF18" i="1" s="1"/>
  <c r="AG18" i="1" s="1"/>
  <c r="AH18" i="1" s="1"/>
  <c r="AI18" i="1" s="1"/>
  <c r="H19" i="1" l="1"/>
  <c r="I19" i="1" s="1"/>
  <c r="J19" i="1" s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AC19" i="1" s="1"/>
  <c r="AD19" i="1" s="1"/>
  <c r="AE19" i="1" s="1"/>
  <c r="AF19" i="1" s="1"/>
  <c r="AG19" i="1" s="1"/>
  <c r="AH19" i="1" s="1"/>
  <c r="AI19" i="1" s="1"/>
  <c r="AI14" i="1" s="1"/>
  <c r="AH14" i="1" s="1"/>
  <c r="AG14" i="1" s="1"/>
  <c r="AF14" i="1" s="1"/>
  <c r="AE14" i="1" s="1"/>
  <c r="AD14" i="1" s="1"/>
  <c r="AC14" i="1" s="1"/>
  <c r="AB14" i="1" s="1"/>
  <c r="AA14" i="1" s="1"/>
  <c r="Z14" i="1" s="1"/>
  <c r="Y14" i="1" s="1"/>
  <c r="X14" i="1" s="1"/>
  <c r="W14" i="1" s="1"/>
  <c r="V14" i="1" s="1"/>
  <c r="U14" i="1" s="1"/>
  <c r="T14" i="1" s="1"/>
  <c r="S14" i="1" s="1"/>
  <c r="R14" i="1" s="1"/>
  <c r="Q14" i="1" s="1"/>
  <c r="P14" i="1" s="1"/>
  <c r="O14" i="1" s="1"/>
  <c r="N14" i="1" s="1"/>
  <c r="M14" i="1" s="1"/>
  <c r="L14" i="1" s="1"/>
  <c r="K14" i="1" s="1"/>
  <c r="J14" i="1" s="1"/>
  <c r="I14" i="1" s="1"/>
  <c r="H14" i="1" s="1"/>
  <c r="G14" i="1" s="1"/>
</calcChain>
</file>

<file path=xl/sharedStrings.xml><?xml version="1.0" encoding="utf-8"?>
<sst xmlns="http://schemas.openxmlformats.org/spreadsheetml/2006/main" count="33" uniqueCount="20">
  <si>
    <t>L</t>
  </si>
  <si>
    <t>dx</t>
  </si>
  <si>
    <t>dt</t>
  </si>
  <si>
    <t>t</t>
  </si>
  <si>
    <t>Cp</t>
  </si>
  <si>
    <t>ro</t>
  </si>
  <si>
    <t>lamda</t>
  </si>
  <si>
    <t>T</t>
  </si>
  <si>
    <t>T_iter</t>
  </si>
  <si>
    <t>T_start</t>
  </si>
  <si>
    <t>T_end</t>
  </si>
  <si>
    <t>t_gas</t>
  </si>
  <si>
    <t>α</t>
  </si>
  <si>
    <t>A</t>
  </si>
  <si>
    <t>B</t>
  </si>
  <si>
    <t>C</t>
  </si>
  <si>
    <t>q</t>
  </si>
  <si>
    <t>alpha</t>
  </si>
  <si>
    <t>beta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</si>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</sst>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/>
    <xf numFmtId="2" fontId="0" fillId="0" borderId="1" xfId="0" applyNumberFormat="1" applyBorder="1" applyAlignment="1">
      <alignment horizontal="center"/>
    </xf>
    <xf numFmtId="165" fontId="0" fillId="0" borderId="0" xfId="0" applyNumberFormat="1"/>
    <xf numFmtId="1" fontId="0" fillId="0" borderId="1" xfId="0" applyNumberFormat="1" applyBorder="1" applyAlignment="1">
      <alignment horizontal="center"/>
    </xf>
    <xf numFmtId="0" fontId="0" fillId="0" borderId="1" xfId="0" applyBorder="1"/>
    <xf numFmtId="164" fontId="0" fillId="0" borderId="2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292.97389961373699</c:v>
                </c:pt>
                <c:pt idx="2">
                  <c:v>285.95565374246064</c:v>
                </c:pt>
                <c:pt idx="3">
                  <c:v>278.93740787118435</c:v>
                </c:pt>
                <c:pt idx="4">
                  <c:v>271.94238226040568</c:v>
                </c:pt>
                <c:pt idx="5">
                  <c:v>264.94735664962695</c:v>
                </c:pt>
                <c:pt idx="6">
                  <c:v>257.98990219542031</c:v>
                </c:pt>
                <c:pt idx="7">
                  <c:v>251.0324477412137</c:v>
                </c:pt>
                <c:pt idx="8">
                  <c:v>244.12527328121698</c:v>
                </c:pt>
                <c:pt idx="9">
                  <c:v>237.21809882122028</c:v>
                </c:pt>
                <c:pt idx="10">
                  <c:v>230.37171569468512</c:v>
                </c:pt>
                <c:pt idx="11">
                  <c:v>223.52533256815005</c:v>
                </c:pt>
                <c:pt idx="12">
                  <c:v>216.74759522091165</c:v>
                </c:pt>
                <c:pt idx="13">
                  <c:v>209.96985787367336</c:v>
                </c:pt>
                <c:pt idx="14">
                  <c:v>203.26562058564497</c:v>
                </c:pt>
                <c:pt idx="15">
                  <c:v>196.56138329761666</c:v>
                </c:pt>
                <c:pt idx="16">
                  <c:v>189.93228803469214</c:v>
                </c:pt>
                <c:pt idx="17">
                  <c:v>183.30319277176773</c:v>
                </c:pt>
                <c:pt idx="18">
                  <c:v>176.74759743277249</c:v>
                </c:pt>
                <c:pt idx="19">
                  <c:v>170.19200209377732</c:v>
                </c:pt>
                <c:pt idx="20">
                  <c:v>163.7050522869088</c:v>
                </c:pt>
                <c:pt idx="21">
                  <c:v>157.21810248004027</c:v>
                </c:pt>
                <c:pt idx="22">
                  <c:v>150.79194369031174</c:v>
                </c:pt>
                <c:pt idx="23">
                  <c:v>144.36578490058321</c:v>
                </c:pt>
                <c:pt idx="24">
                  <c:v>137.98990577428637</c:v>
                </c:pt>
                <c:pt idx="25">
                  <c:v>131.61402664798953</c:v>
                </c:pt>
                <c:pt idx="26">
                  <c:v>125.27571839022453</c:v>
                </c:pt>
                <c:pt idx="27">
                  <c:v>118.93741013245952</c:v>
                </c:pt>
                <c:pt idx="28">
                  <c:v>112.62232193969461</c:v>
                </c:pt>
                <c:pt idx="29">
                  <c:v>106.30723374692971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2D8-466B-ADD7-10160786B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308312"/>
        <c:axId val="450307136"/>
      </c:scatterChart>
      <c:valAx>
        <c:axId val="450308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0307136"/>
        <c:crosses val="autoZero"/>
        <c:crossBetween val="midCat"/>
      </c:valAx>
      <c:valAx>
        <c:axId val="45030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0308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292.96635040157264</c:v>
                </c:pt>
                <c:pt idx="2">
                  <c:v>285.93672156377988</c:v>
                </c:pt>
                <c:pt idx="3">
                  <c:v>278.91509019413797</c:v>
                </c:pt>
                <c:pt idx="4">
                  <c:v>271.90534537661784</c:v>
                </c:pt>
                <c:pt idx="5">
                  <c:v>264.91124596131044</c:v>
                </c:pt>
                <c:pt idx="6">
                  <c:v>257.93637938106338</c:v>
                </c:pt>
                <c:pt idx="7">
                  <c:v>250.98412234632914</c:v>
                </c:pt>
                <c:pt idx="8">
                  <c:v>244.05760384888214</c:v>
                </c:pt>
                <c:pt idx="9">
                  <c:v>237.15967087975787</c:v>
                </c:pt>
                <c:pt idx="10">
                  <c:v>230.29285723702344</c:v>
                </c:pt>
                <c:pt idx="11">
                  <c:v>223.45935576512778</c:v>
                </c:pt>
                <c:pt idx="12">
                  <c:v>216.66099432997569</c:v>
                </c:pt>
                <c:pt idx="13">
                  <c:v>209.89921579293315</c:v>
                </c:pt>
                <c:pt idx="14">
                  <c:v>203.17506220315127</c:v>
                </c:pt>
                <c:pt idx="15">
                  <c:v>196.48916338137494</c:v>
                </c:pt>
                <c:pt idx="16">
                  <c:v>189.841730020282</c:v>
                </c:pt>
                <c:pt idx="17">
                  <c:v>183.23255137691379</c:v>
                </c:pt>
                <c:pt idx="18">
                  <c:v>176.66099758244218</c:v>
                </c:pt>
                <c:pt idx="19">
                  <c:v>170.12602654393166</c:v>
                </c:pt>
                <c:pt idx="20">
                  <c:v>163.62619536244455</c:v>
                </c:pt>
                <c:pt idx="21">
                  <c:v>157.15967614235899</c:v>
                </c:pt>
                <c:pt idx="22">
                  <c:v>150.72427601866232</c:v>
                </c:pt>
                <c:pt idx="23">
                  <c:v>144.31746118277596</c:v>
                </c:pt>
                <c:pt idx="24">
                  <c:v>137.93638464366435</c:v>
                </c:pt>
                <c:pt idx="25">
                  <c:v>131.57791742006467</c:v>
                </c:pt>
                <c:pt idx="26">
                  <c:v>125.23868282208809</c:v>
                </c:pt>
                <c:pt idx="27">
                  <c:v>118.91509344660419</c:v>
                </c:pt>
                <c:pt idx="28">
                  <c:v>112.60339048109375</c:v>
                </c:pt>
                <c:pt idx="29">
                  <c:v>106.29968488537003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10C-4A15-AF25-253277F05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970888"/>
        <c:axId val="240969712"/>
      </c:scatterChart>
      <c:valAx>
        <c:axId val="240970888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240969712"/>
        <c:crosses val="autoZero"/>
        <c:crossBetween val="midCat"/>
      </c:valAx>
      <c:valAx>
        <c:axId val="240969712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240970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4925">
              <a:solidFill>
                <a:srgbClr val="00B0F0"/>
              </a:solidFill>
              <a:prstDash val="dash"/>
            </a:ln>
          </c:spPr>
          <c:marker>
            <c:symbol val="none"/>
          </c:marker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292.96635040157264</c:v>
                </c:pt>
                <c:pt idx="2">
                  <c:v>285.93672156377988</c:v>
                </c:pt>
                <c:pt idx="3">
                  <c:v>278.91509019413797</c:v>
                </c:pt>
                <c:pt idx="4">
                  <c:v>271.90534537661784</c:v>
                </c:pt>
                <c:pt idx="5">
                  <c:v>264.91124596131044</c:v>
                </c:pt>
                <c:pt idx="6">
                  <c:v>257.93637938106338</c:v>
                </c:pt>
                <c:pt idx="7">
                  <c:v>250.98412234632914</c:v>
                </c:pt>
                <c:pt idx="8">
                  <c:v>244.05760384888214</c:v>
                </c:pt>
                <c:pt idx="9">
                  <c:v>237.15967087975787</c:v>
                </c:pt>
                <c:pt idx="10">
                  <c:v>230.29285723702344</c:v>
                </c:pt>
                <c:pt idx="11">
                  <c:v>223.45935576512778</c:v>
                </c:pt>
                <c:pt idx="12">
                  <c:v>216.66099432997569</c:v>
                </c:pt>
                <c:pt idx="13">
                  <c:v>209.89921579293315</c:v>
                </c:pt>
                <c:pt idx="14">
                  <c:v>203.17506220315127</c:v>
                </c:pt>
                <c:pt idx="15">
                  <c:v>196.48916338137494</c:v>
                </c:pt>
                <c:pt idx="16">
                  <c:v>189.841730020282</c:v>
                </c:pt>
                <c:pt idx="17">
                  <c:v>183.23255137691379</c:v>
                </c:pt>
                <c:pt idx="18">
                  <c:v>176.66099758244218</c:v>
                </c:pt>
                <c:pt idx="19">
                  <c:v>170.12602654393166</c:v>
                </c:pt>
                <c:pt idx="20">
                  <c:v>163.62619536244455</c:v>
                </c:pt>
                <c:pt idx="21">
                  <c:v>157.15967614235899</c:v>
                </c:pt>
                <c:pt idx="22">
                  <c:v>150.72427601866232</c:v>
                </c:pt>
                <c:pt idx="23">
                  <c:v>144.31746118277596</c:v>
                </c:pt>
                <c:pt idx="24">
                  <c:v>137.93638464366435</c:v>
                </c:pt>
                <c:pt idx="25">
                  <c:v>131.57791742006467</c:v>
                </c:pt>
                <c:pt idx="26">
                  <c:v>125.23868282208809</c:v>
                </c:pt>
                <c:pt idx="27">
                  <c:v>118.91509344660419</c:v>
                </c:pt>
                <c:pt idx="28">
                  <c:v>112.60339048109375</c:v>
                </c:pt>
                <c:pt idx="29">
                  <c:v>106.29968488537003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CF6-44AE-8912-A5912F788248}"/>
            </c:ext>
          </c:extLst>
        </c:ser>
        <c:ser>
          <c:idx val="1"/>
          <c:order val="1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292.97389961373699</c:v>
                </c:pt>
                <c:pt idx="2">
                  <c:v>285.95565374246064</c:v>
                </c:pt>
                <c:pt idx="3">
                  <c:v>278.93740787118435</c:v>
                </c:pt>
                <c:pt idx="4">
                  <c:v>271.94238226040568</c:v>
                </c:pt>
                <c:pt idx="5">
                  <c:v>264.94735664962695</c:v>
                </c:pt>
                <c:pt idx="6">
                  <c:v>257.98990219542031</c:v>
                </c:pt>
                <c:pt idx="7">
                  <c:v>251.0324477412137</c:v>
                </c:pt>
                <c:pt idx="8">
                  <c:v>244.12527328121698</c:v>
                </c:pt>
                <c:pt idx="9">
                  <c:v>237.21809882122028</c:v>
                </c:pt>
                <c:pt idx="10">
                  <c:v>230.37171569468512</c:v>
                </c:pt>
                <c:pt idx="11">
                  <c:v>223.52533256815005</c:v>
                </c:pt>
                <c:pt idx="12">
                  <c:v>216.74759522091165</c:v>
                </c:pt>
                <c:pt idx="13">
                  <c:v>209.96985787367336</c:v>
                </c:pt>
                <c:pt idx="14">
                  <c:v>203.26562058564497</c:v>
                </c:pt>
                <c:pt idx="15">
                  <c:v>196.56138329761666</c:v>
                </c:pt>
                <c:pt idx="16">
                  <c:v>189.93228803469214</c:v>
                </c:pt>
                <c:pt idx="17">
                  <c:v>183.30319277176773</c:v>
                </c:pt>
                <c:pt idx="18">
                  <c:v>176.74759743277249</c:v>
                </c:pt>
                <c:pt idx="19">
                  <c:v>170.19200209377732</c:v>
                </c:pt>
                <c:pt idx="20">
                  <c:v>163.7050522869088</c:v>
                </c:pt>
                <c:pt idx="21">
                  <c:v>157.21810248004027</c:v>
                </c:pt>
                <c:pt idx="22">
                  <c:v>150.79194369031174</c:v>
                </c:pt>
                <c:pt idx="23">
                  <c:v>144.36578490058321</c:v>
                </c:pt>
                <c:pt idx="24">
                  <c:v>137.98990577428637</c:v>
                </c:pt>
                <c:pt idx="25">
                  <c:v>131.61402664798953</c:v>
                </c:pt>
                <c:pt idx="26">
                  <c:v>125.27571839022453</c:v>
                </c:pt>
                <c:pt idx="27">
                  <c:v>118.93741013245952</c:v>
                </c:pt>
                <c:pt idx="28">
                  <c:v>112.62232193969461</c:v>
                </c:pt>
                <c:pt idx="29">
                  <c:v>106.30723374692971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DCF6-44AE-8912-A5912F78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970104"/>
        <c:axId val="240971280"/>
      </c:scatterChart>
      <c:valAx>
        <c:axId val="240970104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240971280"/>
        <c:crosses val="autoZero"/>
        <c:crossBetween val="midCat"/>
      </c:valAx>
      <c:valAx>
        <c:axId val="240971280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240970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11907</xdr:colOff>
      <xdr:row>16</xdr:row>
      <xdr:rowOff>47625</xdr:rowOff>
    </xdr:from>
    <xdr:ext cx="452438" cy="416719"/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090387" y="2973705"/>
          <a:ext cx="452438" cy="416719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ru-RU" sz="1400" b="1"/>
        </a:p>
      </xdr:txBody>
    </xdr:sp>
    <xdr:clientData/>
  </xdr:oneCellAnchor>
  <xdr:twoCellAnchor>
    <xdr:from>
      <xdr:col>4</xdr:col>
      <xdr:colOff>200025</xdr:colOff>
      <xdr:row>16</xdr:row>
      <xdr:rowOff>185737</xdr:rowOff>
    </xdr:from>
    <xdr:to>
      <xdr:col>12</xdr:col>
      <xdr:colOff>142875</xdr:colOff>
      <xdr:row>31</xdr:row>
      <xdr:rowOff>71437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95679909-3514-473F-AEF5-05B85EF851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0.10668</cdr:x>
      <cdr:y>0.09334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="" xmlns:a16="http://schemas.microsoft.com/office/drawing/2014/main" id="{1C9F4684-7019-4B8D-8652-1FACBDFF5B98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487722" cy="256054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  <cdr:relSizeAnchor xmlns:cdr="http://schemas.openxmlformats.org/drawingml/2006/chartDrawing">
    <cdr:from>
      <cdr:x>0.87466</cdr:x>
      <cdr:y>0.87777</cdr:y>
    </cdr:from>
    <cdr:to>
      <cdr:x>1</cdr:x>
      <cdr:y>1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="" xmlns:a16="http://schemas.microsoft.com/office/drawing/2014/main" id="{B00D881F-AD17-4D94-BBFA-C31B393F60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3998926" y="2407891"/>
          <a:ext cx="573074" cy="33530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88900</xdr:colOff>
      <xdr:row>22</xdr:row>
      <xdr:rowOff>62707</xdr:rowOff>
    </xdr:from>
    <xdr:to>
      <xdr:col>13</xdr:col>
      <xdr:colOff>39686</xdr:colOff>
      <xdr:row>42</xdr:row>
      <xdr:rowOff>62707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114300</xdr:colOff>
      <xdr:row>22</xdr:row>
      <xdr:rowOff>96838</xdr:rowOff>
    </xdr:from>
    <xdr:ext cx="452438" cy="4167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=""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3209925" y="4113213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:a14="http://schemas.microsoft.com/office/drawing/2010/main" xmlns="" id="{00000000-0008-0000-0100-000003000000}"/>
                </a:ext>
              </a:extLst>
            </xdr:cNvPr>
            <xdr:cNvSpPr txBox="1"/>
          </xdr:nvSpPr>
          <xdr:spPr>
            <a:xfrm>
              <a:off x="3209925" y="4113213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  <xdr:twoCellAnchor>
    <xdr:from>
      <xdr:col>15</xdr:col>
      <xdr:colOff>39687</xdr:colOff>
      <xdr:row>22</xdr:row>
      <xdr:rowOff>63501</xdr:rowOff>
    </xdr:from>
    <xdr:to>
      <xdr:col>24</xdr:col>
      <xdr:colOff>252094</xdr:colOff>
      <xdr:row>42</xdr:row>
      <xdr:rowOff>63501</xdr:rowOff>
    </xdr:to>
    <xdr:graphicFrame macro="">
      <xdr:nvGraphicFramePr>
        <xdr:cNvPr id="4" name="Диаграмма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15</xdr:col>
      <xdr:colOff>87312</xdr:colOff>
      <xdr:row>22</xdr:row>
      <xdr:rowOff>87313</xdr:rowOff>
    </xdr:from>
    <xdr:ext cx="452438" cy="4167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=""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8905875" y="4103688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:a14="http://schemas.microsoft.com/office/drawing/2010/main" xmlns="" id="{00000000-0008-0000-0100-000005000000}"/>
                </a:ext>
              </a:extLst>
            </xdr:cNvPr>
            <xdr:cNvSpPr txBox="1"/>
          </xdr:nvSpPr>
          <xdr:spPr>
            <a:xfrm>
              <a:off x="8905875" y="4103688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5"/>
  <sheetViews>
    <sheetView topLeftCell="A12" workbookViewId="0">
      <selection activeCell="L20" sqref="L20"/>
    </sheetView>
  </sheetViews>
  <sheetFormatPr defaultRowHeight="14.5" x14ac:dyDescent="0.35"/>
  <cols>
    <col min="3" max="3" width="9.26953125" customWidth="1"/>
    <col min="6" max="6" width="7.1796875" customWidth="1"/>
    <col min="7" max="7" width="12.1796875" customWidth="1"/>
    <col min="8" max="8" width="12.453125" customWidth="1"/>
    <col min="9" max="36" width="7.1796875" customWidth="1"/>
  </cols>
  <sheetData>
    <row r="3" spans="2:36" x14ac:dyDescent="0.35">
      <c r="B3" s="1" t="s">
        <v>0</v>
      </c>
      <c r="C3" s="1">
        <v>0.1</v>
      </c>
    </row>
    <row r="4" spans="2:36" x14ac:dyDescent="0.35">
      <c r="B4" s="1" t="s">
        <v>1</v>
      </c>
      <c r="C4" s="2">
        <f>C3/30</f>
        <v>3.3333333333333335E-3</v>
      </c>
    </row>
    <row r="5" spans="2:36" x14ac:dyDescent="0.35">
      <c r="B5" s="1" t="s">
        <v>2</v>
      </c>
      <c r="C5" s="2">
        <f>(C9*C8*C4^2)/(2*C10)</f>
        <v>9.3062076160667723E-2</v>
      </c>
    </row>
    <row r="6" spans="2:36" x14ac:dyDescent="0.35">
      <c r="B6" s="1" t="s">
        <v>3</v>
      </c>
      <c r="C6" s="1">
        <v>60</v>
      </c>
      <c r="D6">
        <v>60.025039123630684</v>
      </c>
    </row>
    <row r="7" spans="2:36" x14ac:dyDescent="0.35">
      <c r="B7" s="4"/>
      <c r="C7" s="4"/>
    </row>
    <row r="8" spans="2:36" x14ac:dyDescent="0.35">
      <c r="B8" s="1" t="s">
        <v>4</v>
      </c>
      <c r="C8" s="1">
        <v>400</v>
      </c>
    </row>
    <row r="9" spans="2:36" x14ac:dyDescent="0.35">
      <c r="B9" s="1" t="s">
        <v>5</v>
      </c>
      <c r="C9" s="1">
        <v>8920</v>
      </c>
    </row>
    <row r="10" spans="2:36" x14ac:dyDescent="0.35">
      <c r="B10" s="1" t="s">
        <v>6</v>
      </c>
      <c r="C10" s="1">
        <v>213</v>
      </c>
    </row>
    <row r="11" spans="2:36" x14ac:dyDescent="0.35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5">
      <c r="B12" s="1" t="s">
        <v>9</v>
      </c>
      <c r="C12" s="1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5">
      <c r="B13" s="1" t="s">
        <v>10</v>
      </c>
      <c r="C13" s="1">
        <v>100</v>
      </c>
      <c r="E13" t="s">
        <v>7</v>
      </c>
      <c r="F13" s="4">
        <v>300</v>
      </c>
      <c r="G13" s="4">
        <v>292.97389961373699</v>
      </c>
      <c r="H13" s="4">
        <v>285.95565374246064</v>
      </c>
      <c r="I13" s="4">
        <v>278.93740787118435</v>
      </c>
      <c r="J13" s="4">
        <v>271.94238226040568</v>
      </c>
      <c r="K13" s="4">
        <v>264.94735664962695</v>
      </c>
      <c r="L13" s="4">
        <v>257.98990219542031</v>
      </c>
      <c r="M13" s="4">
        <v>251.0324477412137</v>
      </c>
      <c r="N13" s="4">
        <v>244.12527328121698</v>
      </c>
      <c r="O13" s="4">
        <v>237.21809882122028</v>
      </c>
      <c r="P13" s="4">
        <v>230.37171569468512</v>
      </c>
      <c r="Q13" s="4">
        <v>223.52533256815005</v>
      </c>
      <c r="R13" s="4">
        <v>216.74759522091165</v>
      </c>
      <c r="S13" s="4">
        <v>209.96985787367336</v>
      </c>
      <c r="T13" s="4">
        <v>203.26562058564497</v>
      </c>
      <c r="U13" s="4">
        <v>196.56138329761666</v>
      </c>
      <c r="V13" s="4">
        <v>189.93228803469214</v>
      </c>
      <c r="W13" s="4">
        <v>183.30319277176773</v>
      </c>
      <c r="X13" s="4">
        <v>176.74759743277249</v>
      </c>
      <c r="Y13" s="4">
        <v>170.19200209377732</v>
      </c>
      <c r="Z13" s="4">
        <v>163.7050522869088</v>
      </c>
      <c r="AA13" s="4">
        <v>157.21810248004027</v>
      </c>
      <c r="AB13" s="4">
        <v>150.79194369031174</v>
      </c>
      <c r="AC13" s="4">
        <v>144.36578490058321</v>
      </c>
      <c r="AD13" s="4">
        <v>137.98990577428637</v>
      </c>
      <c r="AE13" s="4">
        <v>131.61402664798953</v>
      </c>
      <c r="AF13" s="4">
        <v>125.27571839022453</v>
      </c>
      <c r="AG13" s="4">
        <v>118.93741013245952</v>
      </c>
      <c r="AH13" s="4">
        <v>112.62232193969461</v>
      </c>
      <c r="AI13" s="4">
        <v>106.30723374692971</v>
      </c>
      <c r="AJ13" s="4">
        <v>100</v>
      </c>
    </row>
    <row r="14" spans="2:36" x14ac:dyDescent="0.35">
      <c r="B14" s="7" t="s">
        <v>12</v>
      </c>
      <c r="C14">
        <v>1000</v>
      </c>
    </row>
    <row r="15" spans="2:36" x14ac:dyDescent="0.35">
      <c r="B15" t="s">
        <v>11</v>
      </c>
      <c r="C15">
        <v>392</v>
      </c>
      <c r="E15" t="s">
        <v>8</v>
      </c>
      <c r="G15" s="4">
        <f>G13+(($C$10*$C$5)/($C$9*$C$8))*((H13-2*G13+F13)/($C$4^2))</f>
        <v>292.97782687123032</v>
      </c>
      <c r="H15" s="4">
        <f t="shared" ref="H15:AI15" si="1">H13+(($C$10*$C$5)/($C$9*$C$8))*((I13-2*H13+G13)/($C$4^2))</f>
        <v>285.95565374246064</v>
      </c>
      <c r="I15" s="4">
        <f t="shared" si="1"/>
        <v>278.94901800143316</v>
      </c>
      <c r="J15" s="4">
        <f t="shared" si="1"/>
        <v>271.94238226040568</v>
      </c>
      <c r="K15" s="4">
        <f t="shared" si="1"/>
        <v>264.966142227913</v>
      </c>
      <c r="L15" s="4">
        <f t="shared" si="1"/>
        <v>257.98990219542031</v>
      </c>
      <c r="M15" s="4">
        <f t="shared" si="1"/>
        <v>251.05758773831863</v>
      </c>
      <c r="N15" s="4">
        <f t="shared" si="1"/>
        <v>244.12527328121701</v>
      </c>
      <c r="O15" s="4">
        <f t="shared" si="1"/>
        <v>237.24849448795106</v>
      </c>
      <c r="P15" s="4">
        <f t="shared" si="1"/>
        <v>230.37171569468518</v>
      </c>
      <c r="Q15" s="4">
        <f t="shared" si="1"/>
        <v>223.55965545779839</v>
      </c>
      <c r="R15" s="4">
        <f t="shared" si="1"/>
        <v>216.74759522091171</v>
      </c>
      <c r="S15" s="4">
        <f t="shared" si="1"/>
        <v>210.00660790327831</v>
      </c>
      <c r="T15" s="4">
        <f t="shared" si="1"/>
        <v>203.26562058564502</v>
      </c>
      <c r="U15" s="4">
        <f t="shared" si="1"/>
        <v>196.59895431016855</v>
      </c>
      <c r="V15" s="4">
        <f t="shared" si="1"/>
        <v>189.93228803469219</v>
      </c>
      <c r="W15" s="4">
        <f t="shared" si="1"/>
        <v>183.3399427337323</v>
      </c>
      <c r="X15" s="4">
        <f t="shared" si="1"/>
        <v>176.74759743277252</v>
      </c>
      <c r="Y15" s="4">
        <f t="shared" si="1"/>
        <v>170.22632485984064</v>
      </c>
      <c r="Z15" s="4">
        <f t="shared" si="1"/>
        <v>163.7050522869088</v>
      </c>
      <c r="AA15" s="4">
        <f t="shared" si="1"/>
        <v>157.24849798861027</v>
      </c>
      <c r="AB15" s="4">
        <f t="shared" si="1"/>
        <v>150.79194369031174</v>
      </c>
      <c r="AC15" s="4">
        <f t="shared" si="1"/>
        <v>144.39092473229906</v>
      </c>
      <c r="AD15" s="4">
        <f t="shared" si="1"/>
        <v>137.98990577428637</v>
      </c>
      <c r="AE15" s="4">
        <f t="shared" si="1"/>
        <v>131.63281208225544</v>
      </c>
      <c r="AF15" s="4">
        <f t="shared" si="1"/>
        <v>125.27571839022453</v>
      </c>
      <c r="AG15" s="4">
        <f t="shared" si="1"/>
        <v>118.94902016495956</v>
      </c>
      <c r="AH15" s="4">
        <f t="shared" si="1"/>
        <v>112.62232193969461</v>
      </c>
      <c r="AI15" s="4">
        <f t="shared" si="1"/>
        <v>106.31116096984731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J20"/>
  <sheetViews>
    <sheetView tabSelected="1" zoomScale="80" zoomScaleNormal="80" workbookViewId="0">
      <selection activeCell="M4" sqref="M4"/>
    </sheetView>
  </sheetViews>
  <sheetFormatPr defaultRowHeight="14.5" x14ac:dyDescent="0.35"/>
  <cols>
    <col min="3" max="3" width="9.26953125" customWidth="1"/>
    <col min="6" max="6" width="7.1796875" customWidth="1"/>
    <col min="7" max="7" width="12.1796875" customWidth="1"/>
    <col min="8" max="8" width="12.453125" customWidth="1"/>
    <col min="9" max="36" width="7.1796875" customWidth="1"/>
  </cols>
  <sheetData>
    <row r="1" spans="1:36" x14ac:dyDescent="0.35">
      <c r="B1" s="1" t="s">
        <v>0</v>
      </c>
      <c r="C1" s="1">
        <v>0.1</v>
      </c>
    </row>
    <row r="2" spans="1:36" x14ac:dyDescent="0.35">
      <c r="B2" s="1" t="s">
        <v>1</v>
      </c>
      <c r="C2" s="2">
        <f>C1/30</f>
        <v>3.3333333333333335E-3</v>
      </c>
    </row>
    <row r="3" spans="1:36" x14ac:dyDescent="0.35">
      <c r="B3" s="1" t="s">
        <v>3</v>
      </c>
      <c r="C3" s="10">
        <v>60</v>
      </c>
    </row>
    <row r="4" spans="1:36" x14ac:dyDescent="0.35">
      <c r="B4" s="1" t="s">
        <v>2</v>
      </c>
      <c r="C4" s="8">
        <f>(C8*C7*C2^2)/(2*C9)</f>
        <v>9.3062076160667723E-2</v>
      </c>
      <c r="D4">
        <v>60.025039123630684</v>
      </c>
      <c r="G4" s="9">
        <f>C3/C4</f>
        <v>644.73094170403579</v>
      </c>
    </row>
    <row r="5" spans="1:36" x14ac:dyDescent="0.35">
      <c r="A5" s="5"/>
      <c r="B5" s="6"/>
      <c r="C5" s="6"/>
      <c r="D5" s="5"/>
    </row>
    <row r="7" spans="1:36" x14ac:dyDescent="0.35">
      <c r="B7" s="1" t="s">
        <v>4</v>
      </c>
      <c r="C7" s="1">
        <v>400</v>
      </c>
    </row>
    <row r="8" spans="1:36" x14ac:dyDescent="0.35">
      <c r="B8" s="1" t="s">
        <v>5</v>
      </c>
      <c r="C8" s="1">
        <v>8920</v>
      </c>
    </row>
    <row r="9" spans="1:36" x14ac:dyDescent="0.35">
      <c r="B9" s="1" t="s">
        <v>6</v>
      </c>
      <c r="C9" s="1">
        <v>213</v>
      </c>
    </row>
    <row r="10" spans="1:36" x14ac:dyDescent="0.35">
      <c r="B10" s="6"/>
      <c r="C10" s="6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35">
      <c r="E11" s="11" t="s">
        <v>0</v>
      </c>
      <c r="F11" s="12">
        <v>0</v>
      </c>
      <c r="G11" s="3">
        <f>F11+$C$2</f>
        <v>3.3333333333333335E-3</v>
      </c>
      <c r="H11" s="3">
        <f t="shared" ref="H11:AJ11" si="0">G11+$C$2</f>
        <v>6.6666666666666671E-3</v>
      </c>
      <c r="I11" s="3">
        <f t="shared" si="0"/>
        <v>0.01</v>
      </c>
      <c r="J11" s="3">
        <f t="shared" si="0"/>
        <v>1.3333333333333334E-2</v>
      </c>
      <c r="K11" s="3">
        <f t="shared" si="0"/>
        <v>1.6666666666666666E-2</v>
      </c>
      <c r="L11" s="3">
        <f t="shared" si="0"/>
        <v>0.02</v>
      </c>
      <c r="M11" s="3">
        <f t="shared" si="0"/>
        <v>2.3333333333333334E-2</v>
      </c>
      <c r="N11" s="3">
        <f t="shared" si="0"/>
        <v>2.6666666666666668E-2</v>
      </c>
      <c r="O11" s="3">
        <f t="shared" si="0"/>
        <v>3.0000000000000002E-2</v>
      </c>
      <c r="P11" s="3">
        <f t="shared" si="0"/>
        <v>3.3333333333333333E-2</v>
      </c>
      <c r="Q11" s="3">
        <f t="shared" si="0"/>
        <v>3.6666666666666667E-2</v>
      </c>
      <c r="R11" s="3">
        <f t="shared" si="0"/>
        <v>0.04</v>
      </c>
      <c r="S11" s="3">
        <f t="shared" si="0"/>
        <v>4.3333333333333335E-2</v>
      </c>
      <c r="T11" s="3">
        <f t="shared" si="0"/>
        <v>4.6666666666666669E-2</v>
      </c>
      <c r="U11" s="3">
        <f t="shared" si="0"/>
        <v>0.05</v>
      </c>
      <c r="V11" s="3">
        <f t="shared" si="0"/>
        <v>5.3333333333333337E-2</v>
      </c>
      <c r="W11" s="3">
        <f t="shared" si="0"/>
        <v>5.6666666666666671E-2</v>
      </c>
      <c r="X11" s="3">
        <f t="shared" si="0"/>
        <v>6.0000000000000005E-2</v>
      </c>
      <c r="Y11" s="3">
        <f t="shared" si="0"/>
        <v>6.3333333333333339E-2</v>
      </c>
      <c r="Z11" s="3">
        <f t="shared" si="0"/>
        <v>6.6666666666666666E-2</v>
      </c>
      <c r="AA11" s="3">
        <f t="shared" si="0"/>
        <v>6.9999999999999993E-2</v>
      </c>
      <c r="AB11" s="3">
        <f t="shared" si="0"/>
        <v>7.333333333333332E-2</v>
      </c>
      <c r="AC11" s="3">
        <f t="shared" si="0"/>
        <v>7.6666666666666647E-2</v>
      </c>
      <c r="AD11" s="3">
        <f t="shared" si="0"/>
        <v>7.9999999999999974E-2</v>
      </c>
      <c r="AE11" s="3">
        <f t="shared" si="0"/>
        <v>8.3333333333333301E-2</v>
      </c>
      <c r="AF11" s="3">
        <f t="shared" si="0"/>
        <v>8.6666666666666628E-2</v>
      </c>
      <c r="AG11" s="3">
        <f t="shared" si="0"/>
        <v>8.9999999999999955E-2</v>
      </c>
      <c r="AH11" s="3">
        <f t="shared" si="0"/>
        <v>9.3333333333333282E-2</v>
      </c>
      <c r="AI11" s="3">
        <f t="shared" si="0"/>
        <v>9.6666666666666609E-2</v>
      </c>
      <c r="AJ11" s="3">
        <f t="shared" si="0"/>
        <v>9.9999999999999936E-2</v>
      </c>
    </row>
    <row r="12" spans="1:36" x14ac:dyDescent="0.35">
      <c r="B12" s="1" t="s">
        <v>9</v>
      </c>
      <c r="C12" s="1">
        <v>300</v>
      </c>
      <c r="E12" s="11" t="s">
        <v>7</v>
      </c>
      <c r="F12" s="4">
        <v>300</v>
      </c>
      <c r="G12" s="4">
        <v>292.96635040157264</v>
      </c>
      <c r="H12" s="4">
        <v>285.93672156377988</v>
      </c>
      <c r="I12" s="4">
        <v>278.91509019413797</v>
      </c>
      <c r="J12" s="4">
        <v>271.90534537661784</v>
      </c>
      <c r="K12" s="4">
        <v>264.91124596131044</v>
      </c>
      <c r="L12" s="4">
        <v>257.93637938106338</v>
      </c>
      <c r="M12" s="4">
        <v>250.98412234632914</v>
      </c>
      <c r="N12" s="4">
        <v>244.05760384888214</v>
      </c>
      <c r="O12" s="4">
        <v>237.15967087975787</v>
      </c>
      <c r="P12" s="4">
        <v>230.29285723702344</v>
      </c>
      <c r="Q12" s="4">
        <v>223.45935576512778</v>
      </c>
      <c r="R12" s="4">
        <v>216.66099432997569</v>
      </c>
      <c r="S12" s="4">
        <v>209.89921579293315</v>
      </c>
      <c r="T12" s="4">
        <v>203.17506220315127</v>
      </c>
      <c r="U12" s="4">
        <v>196.48916338137494</v>
      </c>
      <c r="V12" s="4">
        <v>189.841730020282</v>
      </c>
      <c r="W12" s="4">
        <v>183.23255137691379</v>
      </c>
      <c r="X12" s="4">
        <v>176.66099758244218</v>
      </c>
      <c r="Y12" s="4">
        <v>170.12602654393166</v>
      </c>
      <c r="Z12" s="4">
        <v>163.62619536244455</v>
      </c>
      <c r="AA12" s="4">
        <v>157.15967614235899</v>
      </c>
      <c r="AB12" s="4">
        <v>150.72427601866232</v>
      </c>
      <c r="AC12" s="4">
        <v>144.31746118277596</v>
      </c>
      <c r="AD12" s="4">
        <v>137.93638464366435</v>
      </c>
      <c r="AE12" s="4">
        <v>131.57791742006467</v>
      </c>
      <c r="AF12" s="4">
        <v>125.23868282208809</v>
      </c>
      <c r="AG12" s="4">
        <v>118.91509344660419</v>
      </c>
      <c r="AH12" s="4">
        <v>112.60339048109375</v>
      </c>
      <c r="AI12" s="4">
        <v>106.29968488537003</v>
      </c>
      <c r="AJ12" s="4">
        <v>100</v>
      </c>
    </row>
    <row r="13" spans="1:36" x14ac:dyDescent="0.35">
      <c r="B13" s="1" t="s">
        <v>10</v>
      </c>
      <c r="C13" s="1">
        <v>100</v>
      </c>
    </row>
    <row r="14" spans="1:36" x14ac:dyDescent="0.35">
      <c r="E14" s="11" t="s">
        <v>8</v>
      </c>
      <c r="F14" s="11"/>
      <c r="G14" s="1">
        <f t="shared" ref="G14:AH14" si="1">G18*H14+G19</f>
        <v>292.96834982861799</v>
      </c>
      <c r="H14" s="1">
        <f t="shared" si="1"/>
        <v>285.94069851132645</v>
      </c>
      <c r="I14" s="1">
        <f t="shared" si="1"/>
        <v>278.9210010891282</v>
      </c>
      <c r="J14" s="1">
        <f t="shared" si="1"/>
        <v>271.91312545691039</v>
      </c>
      <c r="K14" s="1">
        <f t="shared" si="1"/>
        <v>264.92080998527763</v>
      </c>
      <c r="L14" s="1">
        <f t="shared" si="1"/>
        <v>257.94762256157912</v>
      </c>
      <c r="M14" s="1">
        <f t="shared" si="1"/>
        <v>250.99692149891217</v>
      </c>
      <c r="N14" s="1">
        <f t="shared" si="1"/>
        <v>244.07181874141142</v>
      </c>
      <c r="O14" s="1">
        <f t="shared" si="1"/>
        <v>237.17514576896917</v>
      </c>
      <c r="P14" s="1">
        <f t="shared" si="1"/>
        <v>230.30942257494945</v>
      </c>
      <c r="Q14" s="1">
        <f t="shared" si="1"/>
        <v>223.47683005678158</v>
      </c>
      <c r="R14" s="1">
        <f t="shared" si="1"/>
        <v>216.67918612192128</v>
      </c>
      <c r="S14" s="1">
        <f t="shared" si="1"/>
        <v>209.91792577095222</v>
      </c>
      <c r="T14" s="1">
        <f t="shared" si="1"/>
        <v>203.19408537602121</v>
      </c>
      <c r="U14" s="1">
        <f t="shared" si="1"/>
        <v>196.50829132683012</v>
      </c>
      <c r="V14" s="1">
        <f t="shared" si="1"/>
        <v>189.86075316854919</v>
      </c>
      <c r="W14" s="1">
        <f t="shared" si="1"/>
        <v>183.2512613068026</v>
      </c>
      <c r="X14" s="1">
        <f t="shared" si="1"/>
        <v>176.67918930483353</v>
      </c>
      <c r="Y14" s="1">
        <f t="shared" si="1"/>
        <v>170.14350074764707</v>
      </c>
      <c r="Z14" s="1">
        <f t="shared" si="1"/>
        <v>163.64276059789134</v>
      </c>
      <c r="AA14" s="1">
        <f t="shared" si="1"/>
        <v>157.17515091902911</v>
      </c>
      <c r="AB14" s="1">
        <f t="shared" si="1"/>
        <v>150.73849079350708</v>
      </c>
      <c r="AC14" s="1">
        <f t="shared" si="1"/>
        <v>144.33026021767449</v>
      </c>
      <c r="AD14" s="1">
        <f t="shared" si="1"/>
        <v>137.94762771163897</v>
      </c>
      <c r="AE14" s="1">
        <f t="shared" si="1"/>
        <v>131.58748134155263</v>
      </c>
      <c r="AF14" s="1">
        <f t="shared" si="1"/>
        <v>125.24646281444225</v>
      </c>
      <c r="AG14" s="1">
        <f t="shared" si="1"/>
        <v>118.92100427204018</v>
      </c>
      <c r="AH14" s="1">
        <f t="shared" si="1"/>
        <v>112.60736738051006</v>
      </c>
      <c r="AI14" s="1">
        <f>AI18*AJ14+AI19</f>
        <v>106.30168428781253</v>
      </c>
      <c r="AJ14" s="1">
        <f>AJ12</f>
        <v>100</v>
      </c>
    </row>
    <row r="15" spans="1:36" x14ac:dyDescent="0.35">
      <c r="B15" s="11" t="s">
        <v>13</v>
      </c>
      <c r="C15" s="11">
        <f>C9/(C2^2)</f>
        <v>19169999.999999996</v>
      </c>
    </row>
    <row r="16" spans="1:36" x14ac:dyDescent="0.35">
      <c r="B16" s="11" t="s">
        <v>14</v>
      </c>
      <c r="C16" s="11">
        <f>(2*C9)/(C2^2)+(C8*C7)/C4</f>
        <v>76679999.999999985</v>
      </c>
      <c r="E16" t="s">
        <v>16</v>
      </c>
    </row>
    <row r="17" spans="2:35" x14ac:dyDescent="0.35">
      <c r="B17" s="11" t="s">
        <v>15</v>
      </c>
      <c r="C17" s="11">
        <f>C15</f>
        <v>19169999.999999996</v>
      </c>
    </row>
    <row r="18" spans="2:35" x14ac:dyDescent="0.35">
      <c r="E18" s="11" t="s">
        <v>17</v>
      </c>
      <c r="F18" s="11">
        <v>0</v>
      </c>
      <c r="G18" s="11">
        <f>$C$15/($C$16-$C$17*F18)</f>
        <v>0.25</v>
      </c>
      <c r="H18" s="11">
        <f t="shared" ref="H18:AI18" si="2">$C$15/($C$16-$C$17*G18)</f>
        <v>0.26666666666666666</v>
      </c>
      <c r="I18" s="11">
        <f t="shared" si="2"/>
        <v>0.26785714285714285</v>
      </c>
      <c r="J18" s="11">
        <f t="shared" si="2"/>
        <v>0.26794258373205743</v>
      </c>
      <c r="K18" s="11">
        <f t="shared" si="2"/>
        <v>0.26794871794871794</v>
      </c>
      <c r="L18" s="11">
        <f t="shared" si="2"/>
        <v>0.26794915836482308</v>
      </c>
      <c r="M18" s="11">
        <f t="shared" si="2"/>
        <v>0.26794918998527245</v>
      </c>
      <c r="N18" s="11">
        <f t="shared" si="2"/>
        <v>0.26794919225551855</v>
      </c>
      <c r="O18" s="11">
        <f t="shared" si="2"/>
        <v>0.26794919241851489</v>
      </c>
      <c r="P18" s="11">
        <f t="shared" si="2"/>
        <v>0.26794919243021753</v>
      </c>
      <c r="Q18" s="11">
        <f t="shared" si="2"/>
        <v>0.26794919243105769</v>
      </c>
      <c r="R18" s="11">
        <f t="shared" si="2"/>
        <v>0.26794919243111803</v>
      </c>
      <c r="S18" s="11">
        <f t="shared" si="2"/>
        <v>0.26794919243112242</v>
      </c>
      <c r="T18" s="11">
        <f t="shared" si="2"/>
        <v>0.2679491924311227</v>
      </c>
      <c r="U18" s="11">
        <f t="shared" si="2"/>
        <v>0.26794919243112275</v>
      </c>
      <c r="V18" s="11">
        <f t="shared" si="2"/>
        <v>0.26794919243112275</v>
      </c>
      <c r="W18" s="11">
        <f t="shared" si="2"/>
        <v>0.26794919243112275</v>
      </c>
      <c r="X18" s="11">
        <f t="shared" si="2"/>
        <v>0.26794919243112275</v>
      </c>
      <c r="Y18" s="11">
        <f t="shared" si="2"/>
        <v>0.26794919243112275</v>
      </c>
      <c r="Z18" s="11">
        <f t="shared" si="2"/>
        <v>0.26794919243112275</v>
      </c>
      <c r="AA18" s="11">
        <f t="shared" si="2"/>
        <v>0.26794919243112275</v>
      </c>
      <c r="AB18" s="11">
        <f t="shared" si="2"/>
        <v>0.26794919243112275</v>
      </c>
      <c r="AC18" s="11">
        <f t="shared" si="2"/>
        <v>0.26794919243112275</v>
      </c>
      <c r="AD18" s="11">
        <f t="shared" si="2"/>
        <v>0.26794919243112275</v>
      </c>
      <c r="AE18" s="11">
        <f t="shared" si="2"/>
        <v>0.26794919243112275</v>
      </c>
      <c r="AF18" s="11">
        <f t="shared" si="2"/>
        <v>0.26794919243112275</v>
      </c>
      <c r="AG18" s="11">
        <f t="shared" si="2"/>
        <v>0.26794919243112275</v>
      </c>
      <c r="AH18" s="11">
        <f t="shared" si="2"/>
        <v>0.26794919243112275</v>
      </c>
      <c r="AI18" s="11">
        <f t="shared" si="2"/>
        <v>0.26794919243112275</v>
      </c>
    </row>
    <row r="19" spans="2:35" x14ac:dyDescent="0.35">
      <c r="E19" s="11" t="s">
        <v>18</v>
      </c>
      <c r="F19" s="11">
        <f>F12</f>
        <v>300</v>
      </c>
      <c r="G19" s="11">
        <f>(F19*$C$17-G20)/($C$16-$C$17*F18)</f>
        <v>221.48317520078635</v>
      </c>
      <c r="H19" s="11">
        <f t="shared" ref="H19:AI19" si="3">(G19*$C$17-H20)/($C$16-$C$17*G18)</f>
        <v>211.56176488755895</v>
      </c>
      <c r="I19" s="11">
        <f t="shared" si="3"/>
        <v>206.08712819888436</v>
      </c>
      <c r="J19" s="11">
        <f t="shared" si="3"/>
        <v>200.9295591450657</v>
      </c>
      <c r="K19" s="11">
        <f t="shared" si="3"/>
        <v>195.80407522198271</v>
      </c>
      <c r="L19" s="11">
        <f t="shared" si="3"/>
        <v>190.69320869378407</v>
      </c>
      <c r="M19" s="11">
        <f t="shared" si="3"/>
        <v>185.59807536891876</v>
      </c>
      <c r="N19" s="11">
        <f t="shared" si="3"/>
        <v>180.52093000953127</v>
      </c>
      <c r="O19" s="11">
        <f t="shared" si="3"/>
        <v>175.46392198363699</v>
      </c>
      <c r="P19" s="11">
        <f t="shared" si="3"/>
        <v>170.42898643436985</v>
      </c>
      <c r="Q19" s="11">
        <f t="shared" si="3"/>
        <v>165.41781711879392</v>
      </c>
      <c r="R19" s="11">
        <f t="shared" si="3"/>
        <v>160.43184743477926</v>
      </c>
      <c r="S19" s="11">
        <f t="shared" si="3"/>
        <v>155.4722346876668</v>
      </c>
      <c r="T19" s="11">
        <f t="shared" si="3"/>
        <v>150.53984740897729</v>
      </c>
      <c r="U19" s="11">
        <f t="shared" si="3"/>
        <v>145.63525584095262</v>
      </c>
      <c r="V19" s="11">
        <f t="shared" si="3"/>
        <v>140.75872568940679</v>
      </c>
      <c r="W19" s="11">
        <f t="shared" si="3"/>
        <v>135.910215213187</v>
      </c>
      <c r="X19" s="11">
        <f t="shared" si="3"/>
        <v>131.08937568209737</v>
      </c>
      <c r="Y19" s="11">
        <f t="shared" si="3"/>
        <v>126.29555519824254</v>
      </c>
      <c r="Z19" s="11">
        <f t="shared" si="3"/>
        <v>121.52780583889765</v>
      </c>
      <c r="AA19" s="11">
        <f t="shared" si="3"/>
        <v>116.78489404262265</v>
      </c>
      <c r="AB19" s="11">
        <f t="shared" si="3"/>
        <v>112.0653141248074</v>
      </c>
      <c r="AC19" s="11">
        <f t="shared" si="3"/>
        <v>107.36730477455167</v>
      </c>
      <c r="AD19" s="11">
        <f t="shared" si="3"/>
        <v>102.68886835212452</v>
      </c>
      <c r="AE19" s="11">
        <f t="shared" si="3"/>
        <v>98.027792775568201</v>
      </c>
      <c r="AF19" s="11">
        <f t="shared" si="3"/>
        <v>93.381675756650992</v>
      </c>
      <c r="AG19" s="11">
        <f t="shared" si="3"/>
        <v>88.747951120637751</v>
      </c>
      <c r="AH19" s="11">
        <f t="shared" si="3"/>
        <v>84.123916921522522</v>
      </c>
      <c r="AI19" s="11">
        <f t="shared" si="3"/>
        <v>79.506765044700259</v>
      </c>
    </row>
    <row r="20" spans="2:35" x14ac:dyDescent="0.35">
      <c r="E20" s="11" t="s">
        <v>19</v>
      </c>
      <c r="F20" s="11">
        <f>-(($C$8*$C$7)/$C$4)*F12</f>
        <v>-11501999999.999998</v>
      </c>
      <c r="G20" s="11">
        <f t="shared" ref="G20:AI20" si="4">-(($C$8*$C$7)/$C$4)*G12</f>
        <v>-11232329874.396294</v>
      </c>
      <c r="H20" s="11">
        <f t="shared" si="4"/>
        <v>-10962813904.755318</v>
      </c>
      <c r="I20" s="11">
        <f t="shared" si="4"/>
        <v>-10693604558.043247</v>
      </c>
      <c r="J20" s="11">
        <f t="shared" si="4"/>
        <v>-10424850941.739527</v>
      </c>
      <c r="K20" s="11">
        <f t="shared" si="4"/>
        <v>-10156697170.156641</v>
      </c>
      <c r="L20" s="11">
        <f t="shared" si="4"/>
        <v>-9889280785.4699688</v>
      </c>
      <c r="M20" s="11">
        <f t="shared" si="4"/>
        <v>-9622731250.7582569</v>
      </c>
      <c r="N20" s="11">
        <f t="shared" si="4"/>
        <v>-9357168531.5661392</v>
      </c>
      <c r="O20" s="11">
        <f t="shared" si="4"/>
        <v>-9092701781.5299149</v>
      </c>
      <c r="P20" s="11">
        <f t="shared" si="4"/>
        <v>-8829428146.4674778</v>
      </c>
      <c r="Q20" s="11">
        <f t="shared" si="4"/>
        <v>-8567431700.0349979</v>
      </c>
      <c r="R20" s="11">
        <f t="shared" si="4"/>
        <v>-8306782522.6112661</v>
      </c>
      <c r="S20" s="11">
        <f t="shared" si="4"/>
        <v>-8047535933.5010557</v>
      </c>
      <c r="T20" s="11">
        <f t="shared" si="4"/>
        <v>-7789731884.8688183</v>
      </c>
      <c r="U20" s="11">
        <f t="shared" si="4"/>
        <v>-7533394524.041914</v>
      </c>
      <c r="V20" s="11">
        <f t="shared" si="4"/>
        <v>-7278531928.9776106</v>
      </c>
      <c r="W20" s="11">
        <f t="shared" si="4"/>
        <v>-7025136019.7908735</v>
      </c>
      <c r="X20" s="11">
        <f t="shared" si="4"/>
        <v>-6773182647.310832</v>
      </c>
      <c r="Y20" s="11">
        <f t="shared" si="4"/>
        <v>-6522631857.6943388</v>
      </c>
      <c r="Z20" s="11">
        <f t="shared" si="4"/>
        <v>-6273428330.1961231</v>
      </c>
      <c r="AA20" s="11">
        <f t="shared" si="4"/>
        <v>-6025501983.2980423</v>
      </c>
      <c r="AB20" s="11">
        <f t="shared" si="4"/>
        <v>-5778768742.5555124</v>
      </c>
      <c r="AC20" s="11">
        <f t="shared" si="4"/>
        <v>-5533131461.7476292</v>
      </c>
      <c r="AD20" s="11">
        <f t="shared" si="4"/>
        <v>-5288480987.2380905</v>
      </c>
      <c r="AE20" s="11">
        <f t="shared" si="4"/>
        <v>-5044697353.8852787</v>
      </c>
      <c r="AF20" s="11">
        <f t="shared" si="4"/>
        <v>-4801651099.3988562</v>
      </c>
      <c r="AG20" s="11">
        <f t="shared" si="4"/>
        <v>-4559204682.7428036</v>
      </c>
      <c r="AH20" s="11">
        <f t="shared" si="4"/>
        <v>-4317213991.0451336</v>
      </c>
      <c r="AI20" s="11">
        <f t="shared" si="4"/>
        <v>-4075529918.5050859</v>
      </c>
    </row>
  </sheetData>
  <conditionalFormatting sqref="F12:AJ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Мсс</dc:subject>
  <dc:creator>Горбунов</dc:creator>
  <cp:lastModifiedBy>DNS</cp:lastModifiedBy>
  <dcterms:created xsi:type="dcterms:W3CDTF">2021-09-07T10:42:55Z</dcterms:created>
  <dcterms:modified xsi:type="dcterms:W3CDTF">2021-11-15T16:43:12Z</dcterms:modified>
</cp:coreProperties>
</file>